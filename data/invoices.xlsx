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'Invoices'!$A$1:$L$51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9C5700"/>
      <sz val="10"/>
    </font>
    <font>
      <name val="Arial"/>
      <color rgb="009C5700"/>
      <sz val="10"/>
    </font>
    <font>
      <name val="Arial"/>
      <b val="1"/>
      <color rgb="00276221"/>
      <sz val="10"/>
    </font>
    <font>
      <name val="Arial"/>
      <b val="1"/>
      <i val="1"/>
      <color rgb="009C0006"/>
      <sz val="10"/>
    </font>
    <font>
      <name val="Arial"/>
      <b val="1"/>
      <color rgb="001F4E79"/>
      <sz val="14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6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8" fillId="0" borderId="0" applyAlignment="1" pivotButton="0" quotePrefix="0" xfId="0">
      <alignment horizontal="left"/>
    </xf>
    <xf numFmtId="0" fontId="9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3" customWidth="1" min="4" max="4"/>
    <col width="14" customWidth="1" min="5" max="5"/>
    <col width="10" customWidth="1" min="6" max="6"/>
    <col width="18" customWidth="1" min="7" max="7"/>
    <col width="32" customWidth="1" min="8" max="8"/>
    <col width="11" customWidth="1" min="9" max="9"/>
    <col width="12" customWidth="1" min="10" max="10"/>
    <col width="10" customWidth="1" min="11" max="11"/>
    <col width="40" customWidth="1" min="12" max="12"/>
  </cols>
  <sheetData>
    <row r="1" ht="30" customHeight="1">
      <c r="A1" s="1" t="inlineStr">
        <is>
          <t>Invoice ID</t>
        </is>
      </c>
      <c r="B1" s="1" t="inlineStr">
        <is>
          <t>Client</t>
        </is>
      </c>
      <c r="C1" s="1" t="inlineStr">
        <is>
          <t>Amount (₹)</t>
        </is>
      </c>
      <c r="D1" s="1" t="inlineStr">
        <is>
          <t>Due Date</t>
        </is>
      </c>
      <c r="E1" s="1" t="inlineStr">
        <is>
          <t>Days Overdue</t>
        </is>
      </c>
      <c r="F1" s="1" t="inlineStr">
        <is>
          <t>Status</t>
        </is>
      </c>
      <c r="G1" s="1" t="inlineStr">
        <is>
          <t>Contact Name</t>
        </is>
      </c>
      <c r="H1" s="1" t="inlineStr">
        <is>
          <t>Contact Email</t>
        </is>
      </c>
      <c r="I1" s="1" t="inlineStr">
        <is>
          <t>Risk Score</t>
        </is>
      </c>
      <c r="J1" s="1" t="inlineStr">
        <is>
          <t>Risk Label</t>
        </is>
      </c>
      <c r="K1" s="1" t="inlineStr">
        <is>
          <t>Dispute</t>
        </is>
      </c>
      <c r="L1" s="1" t="inlineStr">
        <is>
          <t>Next Action</t>
        </is>
      </c>
    </row>
    <row r="2">
      <c r="A2" s="2" t="inlineStr">
        <is>
          <t>INV001</t>
        </is>
      </c>
      <c r="B2" s="2" t="inlineStr">
        <is>
          <t>Raj Traders</t>
        </is>
      </c>
      <c r="C2" s="3" t="n">
        <v>87500</v>
      </c>
      <c r="D2" s="2" t="inlineStr">
        <is>
          <t>2026-02-17</t>
        </is>
      </c>
      <c r="E2" s="4" t="n">
        <v>60</v>
      </c>
      <c r="F2" s="2" t="inlineStr">
        <is>
          <t>Overdue</t>
        </is>
      </c>
      <c r="G2" s="2" t="inlineStr">
        <is>
          <t>Rajesh Kumar</t>
        </is>
      </c>
      <c r="H2" s="2" t="inlineStr">
        <is>
          <t>farazstudy112@gmail.com</t>
        </is>
      </c>
      <c r="I2" s="2" t="n">
        <v>74</v>
      </c>
      <c r="J2" s="5" t="inlineStr">
        <is>
          <t>High</t>
        </is>
      </c>
      <c r="K2" s="6" t="inlineStr">
        <is>
          <t>No</t>
        </is>
      </c>
      <c r="L2" s="7" t="inlineStr">
        <is>
          <t>Escalate to legal team</t>
        </is>
      </c>
    </row>
    <row r="3">
      <c r="A3" s="8" t="inlineStr">
        <is>
          <t>INV002</t>
        </is>
      </c>
      <c r="B3" s="8" t="inlineStr">
        <is>
          <t>Raj Traders</t>
        </is>
      </c>
      <c r="C3" s="9" t="n">
        <v>124000</v>
      </c>
      <c r="D3" s="8" t="inlineStr">
        <is>
          <t>2026-02-07</t>
        </is>
      </c>
      <c r="E3" s="10" t="n">
        <v>70</v>
      </c>
      <c r="F3" s="8" t="inlineStr">
        <is>
          <t>Overdue</t>
        </is>
      </c>
      <c r="G3" s="8" t="inlineStr">
        <is>
          <t>Rajesh Kumar</t>
        </is>
      </c>
      <c r="H3" s="8" t="inlineStr">
        <is>
          <t>farazstudy112@gmail.com</t>
        </is>
      </c>
      <c r="I3" s="8" t="n">
        <v>78</v>
      </c>
      <c r="J3" s="5" t="inlineStr">
        <is>
          <t>High</t>
        </is>
      </c>
      <c r="K3" s="11" t="inlineStr">
        <is>
          <t>No</t>
        </is>
      </c>
      <c r="L3" s="12" t="inlineStr">
        <is>
          <t>Escalate to legal team</t>
        </is>
      </c>
    </row>
    <row r="4">
      <c r="A4" s="2" t="inlineStr">
        <is>
          <t>INV003</t>
        </is>
      </c>
      <c r="B4" s="2" t="inlineStr">
        <is>
          <t>Raj Traders</t>
        </is>
      </c>
      <c r="C4" s="3" t="n">
        <v>45000</v>
      </c>
      <c r="D4" s="2" t="inlineStr">
        <is>
          <t>2026-03-04</t>
        </is>
      </c>
      <c r="E4" s="13" t="n">
        <v>45</v>
      </c>
      <c r="F4" s="2" t="inlineStr">
        <is>
          <t>Overdue</t>
        </is>
      </c>
      <c r="G4" s="2" t="inlineStr">
        <is>
          <t>Rajesh Kumar</t>
        </is>
      </c>
      <c r="H4" s="2" t="inlineStr">
        <is>
          <t>farazstudy112@gmail.com</t>
        </is>
      </c>
      <c r="I4" s="2" t="n">
        <v>62</v>
      </c>
      <c r="J4" s="14" t="inlineStr">
        <is>
          <t>Medium</t>
        </is>
      </c>
      <c r="K4" s="6" t="inlineStr">
        <is>
          <t>No</t>
        </is>
      </c>
      <c r="L4" s="7" t="inlineStr">
        <is>
          <t>Schedule follow-up call</t>
        </is>
      </c>
    </row>
    <row r="5">
      <c r="A5" s="8" t="inlineStr">
        <is>
          <t>INV004</t>
        </is>
      </c>
      <c r="B5" s="8" t="inlineStr">
        <is>
          <t>Raj Traders</t>
        </is>
      </c>
      <c r="C5" s="9" t="n">
        <v>33000</v>
      </c>
      <c r="D5" s="8" t="inlineStr">
        <is>
          <t>2026-03-14</t>
        </is>
      </c>
      <c r="E5" s="15" t="n">
        <v>35</v>
      </c>
      <c r="F5" s="8" t="inlineStr">
        <is>
          <t>Overdue</t>
        </is>
      </c>
      <c r="G5" s="8" t="inlineStr">
        <is>
          <t>Rajesh Kumar</t>
        </is>
      </c>
      <c r="H5" s="8" t="inlineStr">
        <is>
          <t>farazstudy112@gmail.com</t>
        </is>
      </c>
      <c r="I5" s="8" t="n">
        <v>55</v>
      </c>
      <c r="J5" s="14" t="inlineStr">
        <is>
          <t>Medium</t>
        </is>
      </c>
      <c r="K5" s="11" t="inlineStr">
        <is>
          <t>No</t>
        </is>
      </c>
      <c r="L5" s="12" t="inlineStr">
        <is>
          <t>Schedule follow-up call</t>
        </is>
      </c>
    </row>
    <row r="6">
      <c r="A6" s="2" t="inlineStr">
        <is>
          <t>INV005</t>
        </is>
      </c>
      <c r="B6" s="2" t="inlineStr">
        <is>
          <t>Raj Traders</t>
        </is>
      </c>
      <c r="C6" s="3" t="n">
        <v>19500</v>
      </c>
      <c r="D6" s="2" t="inlineStr">
        <is>
          <t>2026-03-24</t>
        </is>
      </c>
      <c r="E6" s="2" t="n">
        <v>25</v>
      </c>
      <c r="F6" s="2" t="inlineStr">
        <is>
          <t>Overdue</t>
        </is>
      </c>
      <c r="G6" s="2" t="inlineStr">
        <is>
          <t>Rajesh Kumar</t>
        </is>
      </c>
      <c r="H6" s="2" t="inlineStr">
        <is>
          <t>farazstudy112@gmail.com</t>
        </is>
      </c>
      <c r="I6" s="2" t="n">
        <v>43</v>
      </c>
      <c r="J6" s="14" t="inlineStr">
        <is>
          <t>Medium</t>
        </is>
      </c>
      <c r="K6" s="6" t="inlineStr">
        <is>
          <t>No</t>
        </is>
      </c>
      <c r="L6" s="7" t="inlineStr">
        <is>
          <t>Schedule follow-up call</t>
        </is>
      </c>
    </row>
    <row r="7">
      <c r="A7" s="8" t="inlineStr">
        <is>
          <t>INV006</t>
        </is>
      </c>
      <c r="B7" s="8" t="inlineStr">
        <is>
          <t>Raj Traders</t>
        </is>
      </c>
      <c r="C7" s="9" t="n">
        <v>72000</v>
      </c>
      <c r="D7" s="8" t="inlineStr">
        <is>
          <t>2026-01-28</t>
        </is>
      </c>
      <c r="E7" s="10" t="n">
        <v>80</v>
      </c>
      <c r="F7" s="8" t="inlineStr">
        <is>
          <t>Overdue</t>
        </is>
      </c>
      <c r="G7" s="8" t="inlineStr">
        <is>
          <t>Rajesh Kumar</t>
        </is>
      </c>
      <c r="H7" s="8" t="inlineStr">
        <is>
          <t>farazstudy112@gmail.com</t>
        </is>
      </c>
      <c r="I7" s="8" t="n">
        <v>82</v>
      </c>
      <c r="J7" s="5" t="inlineStr">
        <is>
          <t>High</t>
        </is>
      </c>
      <c r="K7" s="11" t="inlineStr">
        <is>
          <t>No</t>
        </is>
      </c>
      <c r="L7" s="12" t="inlineStr">
        <is>
          <t>Escalate to legal team</t>
        </is>
      </c>
    </row>
    <row r="8">
      <c r="A8" s="2" t="inlineStr">
        <is>
          <t>INV007</t>
        </is>
      </c>
      <c r="B8" s="2" t="inlineStr">
        <is>
          <t>Raj Traders</t>
        </is>
      </c>
      <c r="C8" s="3" t="n">
        <v>56800</v>
      </c>
      <c r="D8" s="2" t="inlineStr">
        <is>
          <t>2026-02-27</t>
        </is>
      </c>
      <c r="E8" s="13" t="n">
        <v>50</v>
      </c>
      <c r="F8" s="2" t="inlineStr">
        <is>
          <t>Overdue</t>
        </is>
      </c>
      <c r="G8" s="2" t="inlineStr">
        <is>
          <t>Rajesh Kumar</t>
        </is>
      </c>
      <c r="H8" s="2" t="inlineStr">
        <is>
          <t>farazstudy112@gmail.com</t>
        </is>
      </c>
      <c r="I8" s="2" t="n">
        <v>67</v>
      </c>
      <c r="J8" s="14" t="inlineStr">
        <is>
          <t>Medium</t>
        </is>
      </c>
      <c r="K8" s="6" t="inlineStr">
        <is>
          <t>No</t>
        </is>
      </c>
      <c r="L8" s="7" t="inlineStr">
        <is>
          <t>Schedule follow-up call</t>
        </is>
      </c>
    </row>
    <row r="9">
      <c r="A9" s="8" t="inlineStr">
        <is>
          <t>INV008</t>
        </is>
      </c>
      <c r="B9" s="8" t="inlineStr">
        <is>
          <t>Raj Traders</t>
        </is>
      </c>
      <c r="C9" s="9" t="n">
        <v>98000</v>
      </c>
      <c r="D9" s="8" t="inlineStr">
        <is>
          <t>2026-01-18</t>
        </is>
      </c>
      <c r="E9" s="10" t="n">
        <v>90</v>
      </c>
      <c r="F9" s="8" t="inlineStr">
        <is>
          <t>Overdue</t>
        </is>
      </c>
      <c r="G9" s="8" t="inlineStr">
        <is>
          <t>Rajesh Kumar</t>
        </is>
      </c>
      <c r="H9" s="8" t="inlineStr">
        <is>
          <t>farazstudy112@gmail.com</t>
        </is>
      </c>
      <c r="I9" s="8" t="n">
        <v>88</v>
      </c>
      <c r="J9" s="5" t="inlineStr">
        <is>
          <t>High</t>
        </is>
      </c>
      <c r="K9" s="11" t="inlineStr">
        <is>
          <t>No</t>
        </is>
      </c>
      <c r="L9" s="12" t="inlineStr">
        <is>
          <t>Escalate to legal team</t>
        </is>
      </c>
    </row>
    <row r="10">
      <c r="A10" s="2" t="inlineStr">
        <is>
          <t>INV009</t>
        </is>
      </c>
      <c r="B10" s="2" t="inlineStr">
        <is>
          <t>Mehta Enterprises</t>
        </is>
      </c>
      <c r="C10" s="3" t="n">
        <v>61000</v>
      </c>
      <c r="D10" s="2" t="inlineStr">
        <is>
          <t>2026-02-12</t>
        </is>
      </c>
      <c r="E10" s="4" t="n">
        <v>65</v>
      </c>
      <c r="F10" s="2" t="inlineStr">
        <is>
          <t>Overdue</t>
        </is>
      </c>
      <c r="G10" s="2" t="inlineStr">
        <is>
          <t>Priya Mehta</t>
        </is>
      </c>
      <c r="H10" s="2" t="inlineStr">
        <is>
          <t>joybackpack@gmail.com</t>
        </is>
      </c>
      <c r="I10" s="2" t="n">
        <v>85</v>
      </c>
      <c r="J10" s="5" t="inlineStr">
        <is>
          <t>High</t>
        </is>
      </c>
      <c r="K10" s="5" t="inlineStr">
        <is>
          <t>Yes</t>
        </is>
      </c>
      <c r="L10" s="7" t="inlineStr">
        <is>
          <t>Escalate to legal team</t>
        </is>
      </c>
    </row>
    <row r="11">
      <c r="A11" s="8" t="inlineStr">
        <is>
          <t>INV010</t>
        </is>
      </c>
      <c r="B11" s="8" t="inlineStr">
        <is>
          <t>Mehta Enterprises</t>
        </is>
      </c>
      <c r="C11" s="9" t="n">
        <v>47000</v>
      </c>
      <c r="D11" s="8" t="inlineStr">
        <is>
          <t>2026-02-22</t>
        </is>
      </c>
      <c r="E11" s="15" t="n">
        <v>55</v>
      </c>
      <c r="F11" s="8" t="inlineStr">
        <is>
          <t>Overdue</t>
        </is>
      </c>
      <c r="G11" s="8" t="inlineStr">
        <is>
          <t>Priya Mehta</t>
        </is>
      </c>
      <c r="H11" s="8" t="inlineStr">
        <is>
          <t>joybackpack@gmail.com</t>
        </is>
      </c>
      <c r="I11" s="8" t="n">
        <v>80</v>
      </c>
      <c r="J11" s="5" t="inlineStr">
        <is>
          <t>High</t>
        </is>
      </c>
      <c r="K11" s="5" t="inlineStr">
        <is>
          <t>Yes</t>
        </is>
      </c>
      <c r="L11" s="12" t="inlineStr">
        <is>
          <t>Escalate to legal team</t>
        </is>
      </c>
    </row>
    <row r="12">
      <c r="A12" s="2" t="inlineStr">
        <is>
          <t>INV011</t>
        </is>
      </c>
      <c r="B12" s="2" t="inlineStr">
        <is>
          <t>Mehta Enterprises</t>
        </is>
      </c>
      <c r="C12" s="3" t="n">
        <v>28500</v>
      </c>
      <c r="D12" s="2" t="inlineStr">
        <is>
          <t>2026-03-09</t>
        </is>
      </c>
      <c r="E12" s="13" t="n">
        <v>40</v>
      </c>
      <c r="F12" s="2" t="inlineStr">
        <is>
          <t>Overdue</t>
        </is>
      </c>
      <c r="G12" s="2" t="inlineStr">
        <is>
          <t>Priya Mehta</t>
        </is>
      </c>
      <c r="H12" s="2" t="inlineStr">
        <is>
          <t>joybackpack@gmail.com</t>
        </is>
      </c>
      <c r="I12" s="2" t="n">
        <v>58</v>
      </c>
      <c r="J12" s="14" t="inlineStr">
        <is>
          <t>Medium</t>
        </is>
      </c>
      <c r="K12" s="6" t="inlineStr">
        <is>
          <t>No</t>
        </is>
      </c>
      <c r="L12" s="7" t="inlineStr">
        <is>
          <t>Schedule follow-up call</t>
        </is>
      </c>
    </row>
    <row r="13">
      <c r="A13" s="8" t="inlineStr">
        <is>
          <t>INV012</t>
        </is>
      </c>
      <c r="B13" s="8" t="inlineStr">
        <is>
          <t>Mehta Enterprises</t>
        </is>
      </c>
      <c r="C13" s="9" t="n">
        <v>15000</v>
      </c>
      <c r="D13" s="8" t="inlineStr">
        <is>
          <t>2026-03-19</t>
        </is>
      </c>
      <c r="E13" s="15" t="n">
        <v>30</v>
      </c>
      <c r="F13" s="8" t="inlineStr">
        <is>
          <t>Overdue</t>
        </is>
      </c>
      <c r="G13" s="8" t="inlineStr">
        <is>
          <t>Priya Mehta</t>
        </is>
      </c>
      <c r="H13" s="8" t="inlineStr">
        <is>
          <t>joybackpack@gmail.com</t>
        </is>
      </c>
      <c r="I13" s="8" t="n">
        <v>48</v>
      </c>
      <c r="J13" s="14" t="inlineStr">
        <is>
          <t>Medium</t>
        </is>
      </c>
      <c r="K13" s="11" t="inlineStr">
        <is>
          <t>No</t>
        </is>
      </c>
      <c r="L13" s="12" t="inlineStr">
        <is>
          <t>Schedule follow-up call</t>
        </is>
      </c>
    </row>
    <row r="14">
      <c r="A14" s="2" t="inlineStr">
        <is>
          <t>INV013</t>
        </is>
      </c>
      <c r="B14" s="2" t="inlineStr">
        <is>
          <t>Mehta Enterprises</t>
        </is>
      </c>
      <c r="C14" s="3" t="n">
        <v>82000</v>
      </c>
      <c r="D14" s="2" t="inlineStr">
        <is>
          <t>2026-01-23</t>
        </is>
      </c>
      <c r="E14" s="4" t="n">
        <v>85</v>
      </c>
      <c r="F14" s="2" t="inlineStr">
        <is>
          <t>Overdue</t>
        </is>
      </c>
      <c r="G14" s="2" t="inlineStr">
        <is>
          <t>Priya Mehta</t>
        </is>
      </c>
      <c r="H14" s="2" t="inlineStr">
        <is>
          <t>joybackpack@gmail.com</t>
        </is>
      </c>
      <c r="I14" s="2" t="n">
        <v>91</v>
      </c>
      <c r="J14" s="5" t="inlineStr">
        <is>
          <t>High</t>
        </is>
      </c>
      <c r="K14" s="5" t="inlineStr">
        <is>
          <t>Yes</t>
        </is>
      </c>
      <c r="L14" s="7" t="inlineStr">
        <is>
          <t>Escalate to legal team</t>
        </is>
      </c>
    </row>
    <row r="15">
      <c r="A15" s="8" t="inlineStr">
        <is>
          <t>INV014</t>
        </is>
      </c>
      <c r="B15" s="8" t="inlineStr">
        <is>
          <t>Mehta Enterprises</t>
        </is>
      </c>
      <c r="C15" s="9" t="n">
        <v>37500</v>
      </c>
      <c r="D15" s="8" t="inlineStr">
        <is>
          <t>2026-03-04</t>
        </is>
      </c>
      <c r="E15" s="15" t="n">
        <v>45</v>
      </c>
      <c r="F15" s="8" t="inlineStr">
        <is>
          <t>Overdue</t>
        </is>
      </c>
      <c r="G15" s="8" t="inlineStr">
        <is>
          <t>Priya Mehta</t>
        </is>
      </c>
      <c r="H15" s="8" t="inlineStr">
        <is>
          <t>joybackpack@gmail.com</t>
        </is>
      </c>
      <c r="I15" s="8" t="n">
        <v>60</v>
      </c>
      <c r="J15" s="14" t="inlineStr">
        <is>
          <t>Medium</t>
        </is>
      </c>
      <c r="K15" s="11" t="inlineStr">
        <is>
          <t>No</t>
        </is>
      </c>
      <c r="L15" s="12" t="inlineStr">
        <is>
          <t>Schedule follow-up call</t>
        </is>
      </c>
    </row>
    <row r="16">
      <c r="A16" s="2" t="inlineStr">
        <is>
          <t>INV015</t>
        </is>
      </c>
      <c r="B16" s="2" t="inlineStr">
        <is>
          <t>Mehta Enterprises</t>
        </is>
      </c>
      <c r="C16" s="3" t="n">
        <v>54000</v>
      </c>
      <c r="D16" s="2" t="inlineStr">
        <is>
          <t>2026-02-02</t>
        </is>
      </c>
      <c r="E16" s="4" t="n">
        <v>75</v>
      </c>
      <c r="F16" s="2" t="inlineStr">
        <is>
          <t>Overdue</t>
        </is>
      </c>
      <c r="G16" s="2" t="inlineStr">
        <is>
          <t>Priya Mehta</t>
        </is>
      </c>
      <c r="H16" s="2" t="inlineStr">
        <is>
          <t>joybackpack@gmail.com</t>
        </is>
      </c>
      <c r="I16" s="2" t="n">
        <v>87</v>
      </c>
      <c r="J16" s="5" t="inlineStr">
        <is>
          <t>High</t>
        </is>
      </c>
      <c r="K16" s="5" t="inlineStr">
        <is>
          <t>Yes</t>
        </is>
      </c>
      <c r="L16" s="7" t="inlineStr">
        <is>
          <t>Escalate to legal team</t>
        </is>
      </c>
    </row>
    <row r="17">
      <c r="A17" s="8" t="inlineStr">
        <is>
          <t>INV016</t>
        </is>
      </c>
      <c r="B17" s="8" t="inlineStr">
        <is>
          <t>Mehta Enterprises</t>
        </is>
      </c>
      <c r="C17" s="9" t="n">
        <v>22000</v>
      </c>
      <c r="D17" s="8" t="inlineStr">
        <is>
          <t>2026-03-24</t>
        </is>
      </c>
      <c r="E17" s="8" t="n">
        <v>25</v>
      </c>
      <c r="F17" s="8" t="inlineStr">
        <is>
          <t>Overdue</t>
        </is>
      </c>
      <c r="G17" s="8" t="inlineStr">
        <is>
          <t>Priya Mehta</t>
        </is>
      </c>
      <c r="H17" s="8" t="inlineStr">
        <is>
          <t>joybackpack@gmail.com</t>
        </is>
      </c>
      <c r="I17" s="8" t="n">
        <v>44</v>
      </c>
      <c r="J17" s="14" t="inlineStr">
        <is>
          <t>Medium</t>
        </is>
      </c>
      <c r="K17" s="11" t="inlineStr">
        <is>
          <t>No</t>
        </is>
      </c>
      <c r="L17" s="12" t="inlineStr">
        <is>
          <t>Schedule follow-up call</t>
        </is>
      </c>
    </row>
    <row r="18">
      <c r="A18" s="2" t="inlineStr">
        <is>
          <t>INV017</t>
        </is>
      </c>
      <c r="B18" s="2" t="inlineStr">
        <is>
          <t>Sharma Logistics</t>
        </is>
      </c>
      <c r="C18" s="3" t="n">
        <v>115000</v>
      </c>
      <c r="D18" s="2" t="inlineStr">
        <is>
          <t>2026-01-18</t>
        </is>
      </c>
      <c r="E18" s="4" t="n">
        <v>90</v>
      </c>
      <c r="F18" s="2" t="inlineStr">
        <is>
          <t>Overdue</t>
        </is>
      </c>
      <c r="G18" s="2" t="inlineStr">
        <is>
          <t>Vikram Sharma</t>
        </is>
      </c>
      <c r="H18" s="2" t="inlineStr">
        <is>
          <t>soundrify@gmail.com</t>
        </is>
      </c>
      <c r="I18" s="2" t="n">
        <v>79</v>
      </c>
      <c r="J18" s="5" t="inlineStr">
        <is>
          <t>High</t>
        </is>
      </c>
      <c r="K18" s="6" t="inlineStr">
        <is>
          <t>No</t>
        </is>
      </c>
      <c r="L18" s="7" t="inlineStr">
        <is>
          <t>Escalate to legal team</t>
        </is>
      </c>
    </row>
    <row r="19">
      <c r="A19" s="8" t="inlineStr">
        <is>
          <t>INV018</t>
        </is>
      </c>
      <c r="B19" s="8" t="inlineStr">
        <is>
          <t>Sharma Logistics</t>
        </is>
      </c>
      <c r="C19" s="9" t="n">
        <v>93000</v>
      </c>
      <c r="D19" s="8" t="inlineStr">
        <is>
          <t>2026-01-28</t>
        </is>
      </c>
      <c r="E19" s="10" t="n">
        <v>80</v>
      </c>
      <c r="F19" s="8" t="inlineStr">
        <is>
          <t>Overdue</t>
        </is>
      </c>
      <c r="G19" s="8" t="inlineStr">
        <is>
          <t>Vikram Sharma</t>
        </is>
      </c>
      <c r="H19" s="8" t="inlineStr">
        <is>
          <t>soundrify@gmail.com</t>
        </is>
      </c>
      <c r="I19" s="8" t="n">
        <v>75</v>
      </c>
      <c r="J19" s="5" t="inlineStr">
        <is>
          <t>High</t>
        </is>
      </c>
      <c r="K19" s="11" t="inlineStr">
        <is>
          <t>No</t>
        </is>
      </c>
      <c r="L19" s="12" t="inlineStr">
        <is>
          <t>Escalate to legal team</t>
        </is>
      </c>
    </row>
    <row r="20">
      <c r="A20" s="2" t="inlineStr">
        <is>
          <t>INV019</t>
        </is>
      </c>
      <c r="B20" s="2" t="inlineStr">
        <is>
          <t>Sharma Logistics</t>
        </is>
      </c>
      <c r="C20" s="3" t="n">
        <v>67500</v>
      </c>
      <c r="D20" s="2" t="inlineStr">
        <is>
          <t>2026-02-07</t>
        </is>
      </c>
      <c r="E20" s="4" t="n">
        <v>70</v>
      </c>
      <c r="F20" s="2" t="inlineStr">
        <is>
          <t>Overdue</t>
        </is>
      </c>
      <c r="G20" s="2" t="inlineStr">
        <is>
          <t>Vikram Sharma</t>
        </is>
      </c>
      <c r="H20" s="2" t="inlineStr">
        <is>
          <t>soundrify@gmail.com</t>
        </is>
      </c>
      <c r="I20" s="2" t="n">
        <v>71</v>
      </c>
      <c r="J20" s="5" t="inlineStr">
        <is>
          <t>High</t>
        </is>
      </c>
      <c r="K20" s="6" t="inlineStr">
        <is>
          <t>No</t>
        </is>
      </c>
      <c r="L20" s="7" t="inlineStr">
        <is>
          <t>Escalate to legal team</t>
        </is>
      </c>
    </row>
    <row r="21">
      <c r="A21" s="8" t="inlineStr">
        <is>
          <t>INV020</t>
        </is>
      </c>
      <c r="B21" s="8" t="inlineStr">
        <is>
          <t>Sharma Logistics</t>
        </is>
      </c>
      <c r="C21" s="9" t="n">
        <v>48000</v>
      </c>
      <c r="D21" s="8" t="inlineStr">
        <is>
          <t>2026-02-17</t>
        </is>
      </c>
      <c r="E21" s="10" t="n">
        <v>60</v>
      </c>
      <c r="F21" s="8" t="inlineStr">
        <is>
          <t>Overdue</t>
        </is>
      </c>
      <c r="G21" s="8" t="inlineStr">
        <is>
          <t>Vikram Sharma</t>
        </is>
      </c>
      <c r="H21" s="8" t="inlineStr">
        <is>
          <t>soundrify@gmail.com</t>
        </is>
      </c>
      <c r="I21" s="8" t="n">
        <v>68</v>
      </c>
      <c r="J21" s="14" t="inlineStr">
        <is>
          <t>Medium</t>
        </is>
      </c>
      <c r="K21" s="11" t="inlineStr">
        <is>
          <t>No</t>
        </is>
      </c>
      <c r="L21" s="12" t="inlineStr">
        <is>
          <t>Schedule follow-up call</t>
        </is>
      </c>
    </row>
    <row r="22">
      <c r="A22" s="2" t="inlineStr">
        <is>
          <t>INV021</t>
        </is>
      </c>
      <c r="B22" s="2" t="inlineStr">
        <is>
          <t>Sharma Logistics</t>
        </is>
      </c>
      <c r="C22" s="3" t="n">
        <v>31000</v>
      </c>
      <c r="D22" s="2" t="inlineStr">
        <is>
          <t>2026-02-27</t>
        </is>
      </c>
      <c r="E22" s="13" t="n">
        <v>50</v>
      </c>
      <c r="F22" s="2" t="inlineStr">
        <is>
          <t>Overdue</t>
        </is>
      </c>
      <c r="G22" s="2" t="inlineStr">
        <is>
          <t>Vikram Sharma</t>
        </is>
      </c>
      <c r="H22" s="2" t="inlineStr">
        <is>
          <t>soundrify@gmail.com</t>
        </is>
      </c>
      <c r="I22" s="2" t="n">
        <v>63</v>
      </c>
      <c r="J22" s="14" t="inlineStr">
        <is>
          <t>Medium</t>
        </is>
      </c>
      <c r="K22" s="6" t="inlineStr">
        <is>
          <t>No</t>
        </is>
      </c>
      <c r="L22" s="7" t="inlineStr">
        <is>
          <t>Schedule follow-up call</t>
        </is>
      </c>
    </row>
    <row r="23">
      <c r="A23" s="8" t="inlineStr">
        <is>
          <t>INV022</t>
        </is>
      </c>
      <c r="B23" s="8" t="inlineStr">
        <is>
          <t>Sharma Logistics</t>
        </is>
      </c>
      <c r="C23" s="9" t="n">
        <v>77000</v>
      </c>
      <c r="D23" s="8" t="inlineStr">
        <is>
          <t>2026-03-09</t>
        </is>
      </c>
      <c r="E23" s="15" t="n">
        <v>40</v>
      </c>
      <c r="F23" s="8" t="inlineStr">
        <is>
          <t>Overdue</t>
        </is>
      </c>
      <c r="G23" s="8" t="inlineStr">
        <is>
          <t>Vikram Sharma</t>
        </is>
      </c>
      <c r="H23" s="8" t="inlineStr">
        <is>
          <t>soundrify@gmail.com</t>
        </is>
      </c>
      <c r="I23" s="8" t="n">
        <v>57</v>
      </c>
      <c r="J23" s="14" t="inlineStr">
        <is>
          <t>Medium</t>
        </is>
      </c>
      <c r="K23" s="11" t="inlineStr">
        <is>
          <t>No</t>
        </is>
      </c>
      <c r="L23" s="12" t="inlineStr">
        <is>
          <t>Schedule follow-up call</t>
        </is>
      </c>
    </row>
    <row r="24">
      <c r="A24" s="2" t="inlineStr">
        <is>
          <t>INV023</t>
        </is>
      </c>
      <c r="B24" s="2" t="inlineStr">
        <is>
          <t>Sharma Logistics</t>
        </is>
      </c>
      <c r="C24" s="3" t="n">
        <v>52000</v>
      </c>
      <c r="D24" s="2" t="inlineStr">
        <is>
          <t>2026-03-19</t>
        </is>
      </c>
      <c r="E24" s="13" t="n">
        <v>30</v>
      </c>
      <c r="F24" s="2" t="inlineStr">
        <is>
          <t>Overdue</t>
        </is>
      </c>
      <c r="G24" s="2" t="inlineStr">
        <is>
          <t>Vikram Sharma</t>
        </is>
      </c>
      <c r="H24" s="2" t="inlineStr">
        <is>
          <t>soundrify@gmail.com</t>
        </is>
      </c>
      <c r="I24" s="2" t="n">
        <v>51</v>
      </c>
      <c r="J24" s="14" t="inlineStr">
        <is>
          <t>Medium</t>
        </is>
      </c>
      <c r="K24" s="6" t="inlineStr">
        <is>
          <t>No</t>
        </is>
      </c>
      <c r="L24" s="7" t="inlineStr">
        <is>
          <t>Schedule follow-up call</t>
        </is>
      </c>
    </row>
    <row r="25">
      <c r="A25" s="8" t="inlineStr">
        <is>
          <t>INV024</t>
        </is>
      </c>
      <c r="B25" s="8" t="inlineStr">
        <is>
          <t>Sharma Logistics</t>
        </is>
      </c>
      <c r="C25" s="9" t="n">
        <v>140000</v>
      </c>
      <c r="D25" s="8" t="inlineStr">
        <is>
          <t>2026-01-08</t>
        </is>
      </c>
      <c r="E25" s="10" t="n">
        <v>100</v>
      </c>
      <c r="F25" s="8" t="inlineStr">
        <is>
          <t>Overdue</t>
        </is>
      </c>
      <c r="G25" s="8" t="inlineStr">
        <is>
          <t>Vikram Sharma</t>
        </is>
      </c>
      <c r="H25" s="8" t="inlineStr">
        <is>
          <t>soundrify@gmail.com</t>
        </is>
      </c>
      <c r="I25" s="8" t="n">
        <v>92</v>
      </c>
      <c r="J25" s="5" t="inlineStr">
        <is>
          <t>High</t>
        </is>
      </c>
      <c r="K25" s="11" t="inlineStr">
        <is>
          <t>No</t>
        </is>
      </c>
      <c r="L25" s="12" t="inlineStr">
        <is>
          <t>Escalate to legal team</t>
        </is>
      </c>
    </row>
    <row r="26">
      <c r="A26" s="2" t="inlineStr">
        <is>
          <t>INV025</t>
        </is>
      </c>
      <c r="B26" s="2" t="inlineStr">
        <is>
          <t>Noor Supplies</t>
        </is>
      </c>
      <c r="C26" s="3" t="n">
        <v>8500</v>
      </c>
      <c r="D26" s="2" t="inlineStr">
        <is>
          <t>2026-03-29</t>
        </is>
      </c>
      <c r="E26" s="2" t="n">
        <v>20</v>
      </c>
      <c r="F26" s="2" t="inlineStr">
        <is>
          <t>Overdue</t>
        </is>
      </c>
      <c r="G26" s="2" t="inlineStr">
        <is>
          <t>Noorjahan Ansari</t>
        </is>
      </c>
      <c r="H26" s="2" t="inlineStr">
        <is>
          <t>gp4453@myamu.ac.in</t>
        </is>
      </c>
      <c r="I26" s="2" t="n">
        <v>18</v>
      </c>
      <c r="J26" s="16" t="inlineStr">
        <is>
          <t>Low</t>
        </is>
      </c>
      <c r="K26" s="6" t="inlineStr">
        <is>
          <t>No</t>
        </is>
      </c>
      <c r="L26" s="7" t="inlineStr">
        <is>
          <t>Send friendly reminder email</t>
        </is>
      </c>
    </row>
    <row r="27">
      <c r="A27" s="8" t="inlineStr">
        <is>
          <t>INV026</t>
        </is>
      </c>
      <c r="B27" s="8" t="inlineStr">
        <is>
          <t>Noor Supplies</t>
        </is>
      </c>
      <c r="C27" s="9" t="n">
        <v>12000</v>
      </c>
      <c r="D27" s="8" t="inlineStr">
        <is>
          <t>2026-03-24</t>
        </is>
      </c>
      <c r="E27" s="8" t="n">
        <v>25</v>
      </c>
      <c r="F27" s="8" t="inlineStr">
        <is>
          <t>Overdue</t>
        </is>
      </c>
      <c r="G27" s="8" t="inlineStr">
        <is>
          <t>Noorjahan Ansari</t>
        </is>
      </c>
      <c r="H27" s="8" t="inlineStr">
        <is>
          <t>gp4453@myamu.ac.in</t>
        </is>
      </c>
      <c r="I27" s="8" t="n">
        <v>22</v>
      </c>
      <c r="J27" s="16" t="inlineStr">
        <is>
          <t>Low</t>
        </is>
      </c>
      <c r="K27" s="11" t="inlineStr">
        <is>
          <t>No</t>
        </is>
      </c>
      <c r="L27" s="12" t="inlineStr">
        <is>
          <t>Send friendly reminder email</t>
        </is>
      </c>
    </row>
    <row r="28">
      <c r="A28" s="2" t="inlineStr">
        <is>
          <t>INV027</t>
        </is>
      </c>
      <c r="B28" s="2" t="inlineStr">
        <is>
          <t>Noor Supplies</t>
        </is>
      </c>
      <c r="C28" s="3" t="n">
        <v>6800</v>
      </c>
      <c r="D28" s="2" t="inlineStr">
        <is>
          <t>2026-04-03</t>
        </is>
      </c>
      <c r="E28" s="2" t="n">
        <v>15</v>
      </c>
      <c r="F28" s="2" t="inlineStr">
        <is>
          <t>Overdue</t>
        </is>
      </c>
      <c r="G28" s="2" t="inlineStr">
        <is>
          <t>Noorjahan Ansari</t>
        </is>
      </c>
      <c r="H28" s="2" t="inlineStr">
        <is>
          <t>gp4453@myamu.ac.in</t>
        </is>
      </c>
      <c r="I28" s="2" t="n">
        <v>12</v>
      </c>
      <c r="J28" s="16" t="inlineStr">
        <is>
          <t>Low</t>
        </is>
      </c>
      <c r="K28" s="6" t="inlineStr">
        <is>
          <t>No</t>
        </is>
      </c>
      <c r="L28" s="7" t="inlineStr">
        <is>
          <t>Send friendly reminder email</t>
        </is>
      </c>
    </row>
    <row r="29">
      <c r="A29" s="8" t="inlineStr">
        <is>
          <t>INV028</t>
        </is>
      </c>
      <c r="B29" s="8" t="inlineStr">
        <is>
          <t>Noor Supplies</t>
        </is>
      </c>
      <c r="C29" s="9" t="n">
        <v>9200</v>
      </c>
      <c r="D29" s="8" t="inlineStr">
        <is>
          <t>2026-03-19</t>
        </is>
      </c>
      <c r="E29" s="15" t="n">
        <v>30</v>
      </c>
      <c r="F29" s="8" t="inlineStr">
        <is>
          <t>Overdue</t>
        </is>
      </c>
      <c r="G29" s="8" t="inlineStr">
        <is>
          <t>Noorjahan Ansari</t>
        </is>
      </c>
      <c r="H29" s="8" t="inlineStr">
        <is>
          <t>gp4453@myamu.ac.in</t>
        </is>
      </c>
      <c r="I29" s="8" t="n">
        <v>28</v>
      </c>
      <c r="J29" s="16" t="inlineStr">
        <is>
          <t>Low</t>
        </is>
      </c>
      <c r="K29" s="11" t="inlineStr">
        <is>
          <t>No</t>
        </is>
      </c>
      <c r="L29" s="12" t="inlineStr">
        <is>
          <t>Send friendly reminder email</t>
        </is>
      </c>
    </row>
    <row r="30">
      <c r="A30" s="2" t="inlineStr">
        <is>
          <t>INV029</t>
        </is>
      </c>
      <c r="B30" s="2" t="inlineStr">
        <is>
          <t>Noor Supplies</t>
        </is>
      </c>
      <c r="C30" s="3" t="n">
        <v>5500</v>
      </c>
      <c r="D30" s="2" t="inlineStr">
        <is>
          <t>2026-04-08</t>
        </is>
      </c>
      <c r="E30" s="2" t="n">
        <v>10</v>
      </c>
      <c r="F30" s="2" t="inlineStr">
        <is>
          <t>Overdue</t>
        </is>
      </c>
      <c r="G30" s="2" t="inlineStr">
        <is>
          <t>Noorjahan Ansari</t>
        </is>
      </c>
      <c r="H30" s="2" t="inlineStr">
        <is>
          <t>gp4453@myamu.ac.in</t>
        </is>
      </c>
      <c r="I30" s="2" t="n">
        <v>8</v>
      </c>
      <c r="J30" s="16" t="inlineStr">
        <is>
          <t>Low</t>
        </is>
      </c>
      <c r="K30" s="6" t="inlineStr">
        <is>
          <t>No</t>
        </is>
      </c>
      <c r="L30" s="7" t="inlineStr">
        <is>
          <t>Send friendly reminder email</t>
        </is>
      </c>
    </row>
    <row r="31">
      <c r="A31" s="8" t="inlineStr">
        <is>
          <t>INV030</t>
        </is>
      </c>
      <c r="B31" s="8" t="inlineStr">
        <is>
          <t>Noor Supplies</t>
        </is>
      </c>
      <c r="C31" s="9" t="n">
        <v>14500</v>
      </c>
      <c r="D31" s="8" t="inlineStr">
        <is>
          <t>2026-03-14</t>
        </is>
      </c>
      <c r="E31" s="15" t="n">
        <v>35</v>
      </c>
      <c r="F31" s="8" t="inlineStr">
        <is>
          <t>Overdue</t>
        </is>
      </c>
      <c r="G31" s="8" t="inlineStr">
        <is>
          <t>Noorjahan Ansari</t>
        </is>
      </c>
      <c r="H31" s="8" t="inlineStr">
        <is>
          <t>gp4453@myamu.ac.in</t>
        </is>
      </c>
      <c r="I31" s="8" t="n">
        <v>32</v>
      </c>
      <c r="J31" s="16" t="inlineStr">
        <is>
          <t>Low</t>
        </is>
      </c>
      <c r="K31" s="11" t="inlineStr">
        <is>
          <t>No</t>
        </is>
      </c>
      <c r="L31" s="12" t="inlineStr">
        <is>
          <t>Send friendly reminder email</t>
        </is>
      </c>
    </row>
    <row r="32">
      <c r="A32" s="2" t="inlineStr">
        <is>
          <t>INV031</t>
        </is>
      </c>
      <c r="B32" s="2" t="inlineStr">
        <is>
          <t>Noor Supplies</t>
        </is>
      </c>
      <c r="C32" s="3" t="n">
        <v>7100</v>
      </c>
      <c r="D32" s="2" t="inlineStr">
        <is>
          <t>2026-03-09</t>
        </is>
      </c>
      <c r="E32" s="13" t="n">
        <v>40</v>
      </c>
      <c r="F32" s="2" t="inlineStr">
        <is>
          <t>Overdue</t>
        </is>
      </c>
      <c r="G32" s="2" t="inlineStr">
        <is>
          <t>Noorjahan Ansari</t>
        </is>
      </c>
      <c r="H32" s="2" t="inlineStr">
        <is>
          <t>gp4453@myamu.ac.in</t>
        </is>
      </c>
      <c r="I32" s="2" t="n">
        <v>36</v>
      </c>
      <c r="J32" s="16" t="inlineStr">
        <is>
          <t>Low</t>
        </is>
      </c>
      <c r="K32" s="6" t="inlineStr">
        <is>
          <t>No</t>
        </is>
      </c>
      <c r="L32" s="7" t="inlineStr">
        <is>
          <t>Send friendly reminder email</t>
        </is>
      </c>
    </row>
    <row r="33">
      <c r="A33" s="8" t="inlineStr">
        <is>
          <t>INV032</t>
        </is>
      </c>
      <c r="B33" s="8" t="inlineStr">
        <is>
          <t>Noor Supplies</t>
        </is>
      </c>
      <c r="C33" s="9" t="n">
        <v>11300</v>
      </c>
      <c r="D33" s="8" t="inlineStr">
        <is>
          <t>2026-03-04</t>
        </is>
      </c>
      <c r="E33" s="15" t="n">
        <v>45</v>
      </c>
      <c r="F33" s="8" t="inlineStr">
        <is>
          <t>Overdue</t>
        </is>
      </c>
      <c r="G33" s="8" t="inlineStr">
        <is>
          <t>Noorjahan Ansari</t>
        </is>
      </c>
      <c r="H33" s="8" t="inlineStr">
        <is>
          <t>gp4453@myamu.ac.in</t>
        </is>
      </c>
      <c r="I33" s="8" t="n">
        <v>39</v>
      </c>
      <c r="J33" s="16" t="inlineStr">
        <is>
          <t>Low</t>
        </is>
      </c>
      <c r="K33" s="11" t="inlineStr">
        <is>
          <t>No</t>
        </is>
      </c>
      <c r="L33" s="12" t="inlineStr">
        <is>
          <t>Send friendly reminder email</t>
        </is>
      </c>
    </row>
    <row r="34">
      <c r="A34" s="2" t="inlineStr">
        <is>
          <t>INV033</t>
        </is>
      </c>
      <c r="B34" s="2" t="inlineStr">
        <is>
          <t>Apex Solutions</t>
        </is>
      </c>
      <c r="C34" s="3" t="n">
        <v>76000</v>
      </c>
      <c r="D34" s="2" t="inlineStr">
        <is>
          <t>2026-02-17</t>
        </is>
      </c>
      <c r="E34" s="4" t="n">
        <v>60</v>
      </c>
      <c r="F34" s="2" t="inlineStr">
        <is>
          <t>Overdue</t>
        </is>
      </c>
      <c r="G34" s="17" t="inlineStr">
        <is>
          <t>— MISSING —</t>
        </is>
      </c>
      <c r="H34" s="2" t="inlineStr">
        <is>
          <t>abdullasiddique027@gmail.com</t>
        </is>
      </c>
      <c r="I34" s="2" t="n">
        <v>73</v>
      </c>
      <c r="J34" s="5" t="inlineStr">
        <is>
          <t>High</t>
        </is>
      </c>
      <c r="K34" s="6" t="inlineStr">
        <is>
          <t>No</t>
        </is>
      </c>
      <c r="L34" s="7" t="inlineStr">
        <is>
          <t>Resolve contact details before proceeding</t>
        </is>
      </c>
    </row>
    <row r="35">
      <c r="A35" s="8" t="inlineStr">
        <is>
          <t>INV034</t>
        </is>
      </c>
      <c r="B35" s="8" t="inlineStr">
        <is>
          <t>Apex Solutions</t>
        </is>
      </c>
      <c r="C35" s="9" t="n">
        <v>54000</v>
      </c>
      <c r="D35" s="8" t="inlineStr">
        <is>
          <t>2026-03-04</t>
        </is>
      </c>
      <c r="E35" s="15" t="n">
        <v>45</v>
      </c>
      <c r="F35" s="8" t="inlineStr">
        <is>
          <t>Overdue</t>
        </is>
      </c>
      <c r="G35" s="18" t="inlineStr">
        <is>
          <t>— MISSING —</t>
        </is>
      </c>
      <c r="H35" s="8" t="inlineStr">
        <is>
          <t>abdullasiddique027@gmail.com</t>
        </is>
      </c>
      <c r="I35" s="8" t="n">
        <v>74</v>
      </c>
      <c r="J35" s="5" t="inlineStr">
        <is>
          <t>High</t>
        </is>
      </c>
      <c r="K35" s="11" t="inlineStr">
        <is>
          <t>No</t>
        </is>
      </c>
      <c r="L35" s="12" t="inlineStr">
        <is>
          <t>Resolve contact details before proceeding</t>
        </is>
      </c>
    </row>
    <row r="36">
      <c r="A36" s="2" t="inlineStr">
        <is>
          <t>INV035</t>
        </is>
      </c>
      <c r="B36" s="2" t="inlineStr">
        <is>
          <t>Apex Solutions</t>
        </is>
      </c>
      <c r="C36" s="3" t="n">
        <v>38000</v>
      </c>
      <c r="D36" s="2" t="inlineStr">
        <is>
          <t>2026-02-27</t>
        </is>
      </c>
      <c r="E36" s="13" t="n">
        <v>50</v>
      </c>
      <c r="F36" s="2" t="inlineStr">
        <is>
          <t>Overdue</t>
        </is>
      </c>
      <c r="G36" s="17" t="inlineStr">
        <is>
          <t>— MISSING —</t>
        </is>
      </c>
      <c r="H36" s="2" t="inlineStr">
        <is>
          <t>abdullasiddique027@gmail.com</t>
        </is>
      </c>
      <c r="I36" s="2" t="n">
        <v>72</v>
      </c>
      <c r="J36" s="5" t="inlineStr">
        <is>
          <t>High</t>
        </is>
      </c>
      <c r="K36" s="6" t="inlineStr">
        <is>
          <t>No</t>
        </is>
      </c>
      <c r="L36" s="7" t="inlineStr">
        <is>
          <t>Resolve contact details before proceeding</t>
        </is>
      </c>
    </row>
    <row r="37">
      <c r="A37" s="8" t="inlineStr">
        <is>
          <t>INV036</t>
        </is>
      </c>
      <c r="B37" s="8" t="inlineStr">
        <is>
          <t>Apex Solutions</t>
        </is>
      </c>
      <c r="C37" s="9" t="n">
        <v>92000</v>
      </c>
      <c r="D37" s="8" t="inlineStr">
        <is>
          <t>2026-02-07</t>
        </is>
      </c>
      <c r="E37" s="10" t="n">
        <v>70</v>
      </c>
      <c r="F37" s="8" t="inlineStr">
        <is>
          <t>Overdue</t>
        </is>
      </c>
      <c r="G37" s="18" t="inlineStr">
        <is>
          <t>— MISSING —</t>
        </is>
      </c>
      <c r="H37" s="8" t="inlineStr">
        <is>
          <t>abdullasiddique027@gmail.com</t>
        </is>
      </c>
      <c r="I37" s="8" t="n">
        <v>83</v>
      </c>
      <c r="J37" s="5" t="inlineStr">
        <is>
          <t>High</t>
        </is>
      </c>
      <c r="K37" s="11" t="inlineStr">
        <is>
          <t>No</t>
        </is>
      </c>
      <c r="L37" s="12" t="inlineStr">
        <is>
          <t>Resolve contact details before proceeding</t>
        </is>
      </c>
    </row>
    <row r="38">
      <c r="A38" s="2" t="inlineStr">
        <is>
          <t>INV037</t>
        </is>
      </c>
      <c r="B38" s="2" t="inlineStr">
        <is>
          <t>Apex Solutions</t>
        </is>
      </c>
      <c r="C38" s="3" t="n">
        <v>29000</v>
      </c>
      <c r="D38" s="2" t="inlineStr">
        <is>
          <t>2026-03-14</t>
        </is>
      </c>
      <c r="E38" s="13" t="n">
        <v>35</v>
      </c>
      <c r="F38" s="2" t="inlineStr">
        <is>
          <t>Overdue</t>
        </is>
      </c>
      <c r="G38" s="17" t="inlineStr">
        <is>
          <t>— MISSING —</t>
        </is>
      </c>
      <c r="H38" s="2" t="inlineStr">
        <is>
          <t>abdullasiddique027@gmail.com</t>
        </is>
      </c>
      <c r="I38" s="2" t="n">
        <v>72</v>
      </c>
      <c r="J38" s="5" t="inlineStr">
        <is>
          <t>High</t>
        </is>
      </c>
      <c r="K38" s="6" t="inlineStr">
        <is>
          <t>No</t>
        </is>
      </c>
      <c r="L38" s="7" t="inlineStr">
        <is>
          <t>Resolve contact details before proceeding</t>
        </is>
      </c>
    </row>
    <row r="39">
      <c r="A39" s="8" t="inlineStr">
        <is>
          <t>INV038</t>
        </is>
      </c>
      <c r="B39" s="8" t="inlineStr">
        <is>
          <t>Apex Solutions</t>
        </is>
      </c>
      <c r="C39" s="9" t="n">
        <v>63000</v>
      </c>
      <c r="D39" s="8" t="inlineStr">
        <is>
          <t>2026-01-28</t>
        </is>
      </c>
      <c r="E39" s="10" t="n">
        <v>80</v>
      </c>
      <c r="F39" s="8" t="inlineStr">
        <is>
          <t>Overdue</t>
        </is>
      </c>
      <c r="G39" s="18" t="inlineStr">
        <is>
          <t>— MISSING —</t>
        </is>
      </c>
      <c r="H39" s="8" t="inlineStr">
        <is>
          <t>abdullasiddique027@gmail.com</t>
        </is>
      </c>
      <c r="I39" s="8" t="n">
        <v>85</v>
      </c>
      <c r="J39" s="5" t="inlineStr">
        <is>
          <t>High</t>
        </is>
      </c>
      <c r="K39" s="11" t="inlineStr">
        <is>
          <t>No</t>
        </is>
      </c>
      <c r="L39" s="12" t="inlineStr">
        <is>
          <t>Resolve contact details before proceeding</t>
        </is>
      </c>
    </row>
    <row r="40">
      <c r="A40" s="2" t="inlineStr">
        <is>
          <t>INV039</t>
        </is>
      </c>
      <c r="B40" s="2" t="inlineStr">
        <is>
          <t>Apex Solutions</t>
        </is>
      </c>
      <c r="C40" s="3" t="n">
        <v>18500</v>
      </c>
      <c r="D40" s="2" t="inlineStr">
        <is>
          <t>2026-03-24</t>
        </is>
      </c>
      <c r="E40" s="2" t="n">
        <v>25</v>
      </c>
      <c r="F40" s="2" t="inlineStr">
        <is>
          <t>Overdue</t>
        </is>
      </c>
      <c r="G40" s="17" t="inlineStr">
        <is>
          <t>— MISSING —</t>
        </is>
      </c>
      <c r="H40" s="2" t="inlineStr">
        <is>
          <t>abdullasiddique027@gmail.com</t>
        </is>
      </c>
      <c r="I40" s="2" t="n">
        <v>72</v>
      </c>
      <c r="J40" s="5" t="inlineStr">
        <is>
          <t>High</t>
        </is>
      </c>
      <c r="K40" s="6" t="inlineStr">
        <is>
          <t>No</t>
        </is>
      </c>
      <c r="L40" s="7" t="inlineStr">
        <is>
          <t>Resolve contact details before proceeding</t>
        </is>
      </c>
    </row>
    <row r="41">
      <c r="A41" s="8" t="inlineStr">
        <is>
          <t>INV040</t>
        </is>
      </c>
      <c r="B41" s="8" t="inlineStr">
        <is>
          <t>Apex Solutions</t>
        </is>
      </c>
      <c r="C41" s="9" t="n">
        <v>44500</v>
      </c>
      <c r="D41" s="8" t="inlineStr">
        <is>
          <t>2026-03-09</t>
        </is>
      </c>
      <c r="E41" s="15" t="n">
        <v>40</v>
      </c>
      <c r="F41" s="8" t="inlineStr">
        <is>
          <t>Overdue</t>
        </is>
      </c>
      <c r="G41" s="18" t="inlineStr">
        <is>
          <t>— MISSING —</t>
        </is>
      </c>
      <c r="H41" s="8" t="inlineStr">
        <is>
          <t>abdullasiddique027@gmail.com</t>
        </is>
      </c>
      <c r="I41" s="8" t="n">
        <v>73</v>
      </c>
      <c r="J41" s="5" t="inlineStr">
        <is>
          <t>High</t>
        </is>
      </c>
      <c r="K41" s="11" t="inlineStr">
        <is>
          <t>No</t>
        </is>
      </c>
      <c r="L41" s="12" t="inlineStr">
        <is>
          <t>Resolve contact details before proceeding</t>
        </is>
      </c>
    </row>
    <row r="42">
      <c r="A42" s="2" t="inlineStr">
        <is>
          <t>INV041</t>
        </is>
      </c>
      <c r="B42" s="2" t="inlineStr">
        <is>
          <t>Apex Solutions</t>
        </is>
      </c>
      <c r="C42" s="3" t="n">
        <v>57000</v>
      </c>
      <c r="D42" s="2" t="inlineStr">
        <is>
          <t>2026-02-12</t>
        </is>
      </c>
      <c r="E42" s="4" t="n">
        <v>65</v>
      </c>
      <c r="F42" s="2" t="inlineStr">
        <is>
          <t>Overdue</t>
        </is>
      </c>
      <c r="G42" s="17" t="inlineStr">
        <is>
          <t>— MISSING —</t>
        </is>
      </c>
      <c r="H42" s="2" t="inlineStr">
        <is>
          <t>abdullasiddique027@gmail.com</t>
        </is>
      </c>
      <c r="I42" s="2" t="n">
        <v>79</v>
      </c>
      <c r="J42" s="5" t="inlineStr">
        <is>
          <t>High</t>
        </is>
      </c>
      <c r="K42" s="6" t="inlineStr">
        <is>
          <t>No</t>
        </is>
      </c>
      <c r="L42" s="7" t="inlineStr">
        <is>
          <t>Resolve contact details before proceeding</t>
        </is>
      </c>
    </row>
    <row r="43">
      <c r="A43" s="8" t="inlineStr">
        <is>
          <t>INV042</t>
        </is>
      </c>
      <c r="B43" s="8" t="inlineStr">
        <is>
          <t>Crescent Tech</t>
        </is>
      </c>
      <c r="C43" s="9" t="n">
        <v>21000</v>
      </c>
      <c r="D43" s="8" t="inlineStr">
        <is>
          <t>2026-03-29</t>
        </is>
      </c>
      <c r="E43" s="8" t="n">
        <v>20</v>
      </c>
      <c r="F43" s="8" t="inlineStr">
        <is>
          <t>Overdue</t>
        </is>
      </c>
      <c r="G43" s="8" t="inlineStr">
        <is>
          <t>Aisha Siddiqui</t>
        </is>
      </c>
      <c r="H43" s="8" t="inlineStr">
        <is>
          <t>farazstudy112@gmail.com</t>
        </is>
      </c>
      <c r="I43" s="8" t="n">
        <v>20</v>
      </c>
      <c r="J43" s="16" t="inlineStr">
        <is>
          <t>Low</t>
        </is>
      </c>
      <c r="K43" s="11" t="inlineStr">
        <is>
          <t>No</t>
        </is>
      </c>
      <c r="L43" s="12" t="inlineStr">
        <is>
          <t>Send friendly reminder email</t>
        </is>
      </c>
    </row>
    <row r="44">
      <c r="A44" s="2" t="inlineStr">
        <is>
          <t>INV043</t>
        </is>
      </c>
      <c r="B44" s="2" t="inlineStr">
        <is>
          <t>Crescent Tech</t>
        </is>
      </c>
      <c r="C44" s="3" t="n">
        <v>34000</v>
      </c>
      <c r="D44" s="2" t="inlineStr">
        <is>
          <t>2026-03-24</t>
        </is>
      </c>
      <c r="E44" s="2" t="n">
        <v>25</v>
      </c>
      <c r="F44" s="2" t="inlineStr">
        <is>
          <t>Overdue</t>
        </is>
      </c>
      <c r="G44" s="2" t="inlineStr">
        <is>
          <t>Aisha Siddiqui</t>
        </is>
      </c>
      <c r="H44" s="2" t="inlineStr">
        <is>
          <t>farazstudy112@gmail.com</t>
        </is>
      </c>
      <c r="I44" s="2" t="n">
        <v>25</v>
      </c>
      <c r="J44" s="16" t="inlineStr">
        <is>
          <t>Low</t>
        </is>
      </c>
      <c r="K44" s="6" t="inlineStr">
        <is>
          <t>No</t>
        </is>
      </c>
      <c r="L44" s="7" t="inlineStr">
        <is>
          <t>Send friendly reminder email</t>
        </is>
      </c>
    </row>
    <row r="45">
      <c r="A45" s="8" t="inlineStr">
        <is>
          <t>INV044</t>
        </is>
      </c>
      <c r="B45" s="8" t="inlineStr">
        <is>
          <t>Crescent Tech</t>
        </is>
      </c>
      <c r="C45" s="9" t="n">
        <v>15500</v>
      </c>
      <c r="D45" s="8" t="inlineStr">
        <is>
          <t>2026-04-03</t>
        </is>
      </c>
      <c r="E45" s="8" t="n">
        <v>15</v>
      </c>
      <c r="F45" s="8" t="inlineStr">
        <is>
          <t>Overdue</t>
        </is>
      </c>
      <c r="G45" s="8" t="inlineStr">
        <is>
          <t>Aisha Siddiqui</t>
        </is>
      </c>
      <c r="H45" s="8" t="inlineStr">
        <is>
          <t>farazstudy112@gmail.com</t>
        </is>
      </c>
      <c r="I45" s="8" t="n">
        <v>15</v>
      </c>
      <c r="J45" s="16" t="inlineStr">
        <is>
          <t>Low</t>
        </is>
      </c>
      <c r="K45" s="11" t="inlineStr">
        <is>
          <t>No</t>
        </is>
      </c>
      <c r="L45" s="12" t="inlineStr">
        <is>
          <t>Send friendly reminder email</t>
        </is>
      </c>
    </row>
    <row r="46">
      <c r="A46" s="2" t="inlineStr">
        <is>
          <t>INV045</t>
        </is>
      </c>
      <c r="B46" s="2" t="inlineStr">
        <is>
          <t>Crescent Tech</t>
        </is>
      </c>
      <c r="C46" s="3" t="n">
        <v>47000</v>
      </c>
      <c r="D46" s="2" t="inlineStr">
        <is>
          <t>2026-03-19</t>
        </is>
      </c>
      <c r="E46" s="13" t="n">
        <v>30</v>
      </c>
      <c r="F46" s="2" t="inlineStr">
        <is>
          <t>Overdue</t>
        </is>
      </c>
      <c r="G46" s="2" t="inlineStr">
        <is>
          <t>Aisha Siddiqui</t>
        </is>
      </c>
      <c r="H46" s="2" t="inlineStr">
        <is>
          <t>farazstudy112@gmail.com</t>
        </is>
      </c>
      <c r="I46" s="2" t="n">
        <v>30</v>
      </c>
      <c r="J46" s="16" t="inlineStr">
        <is>
          <t>Low</t>
        </is>
      </c>
      <c r="K46" s="6" t="inlineStr">
        <is>
          <t>No</t>
        </is>
      </c>
      <c r="L46" s="7" t="inlineStr">
        <is>
          <t>Send friendly reminder email</t>
        </is>
      </c>
    </row>
    <row r="47">
      <c r="A47" s="8" t="inlineStr">
        <is>
          <t>INV046</t>
        </is>
      </c>
      <c r="B47" s="8" t="inlineStr">
        <is>
          <t>Crescent Tech</t>
        </is>
      </c>
      <c r="C47" s="9" t="n">
        <v>28000</v>
      </c>
      <c r="D47" s="8" t="inlineStr">
        <is>
          <t>2026-04-08</t>
        </is>
      </c>
      <c r="E47" s="8" t="n">
        <v>10</v>
      </c>
      <c r="F47" s="8" t="inlineStr">
        <is>
          <t>Overdue</t>
        </is>
      </c>
      <c r="G47" s="8" t="inlineStr">
        <is>
          <t>Aisha Siddiqui</t>
        </is>
      </c>
      <c r="H47" s="8" t="inlineStr">
        <is>
          <t>farazstudy112@gmail.com</t>
        </is>
      </c>
      <c r="I47" s="8" t="n">
        <v>10</v>
      </c>
      <c r="J47" s="16" t="inlineStr">
        <is>
          <t>Low</t>
        </is>
      </c>
      <c r="K47" s="11" t="inlineStr">
        <is>
          <t>No</t>
        </is>
      </c>
      <c r="L47" s="12" t="inlineStr">
        <is>
          <t>Send friendly reminder email</t>
        </is>
      </c>
    </row>
    <row r="48">
      <c r="A48" s="2" t="inlineStr">
        <is>
          <t>INV047</t>
        </is>
      </c>
      <c r="B48" s="2" t="inlineStr">
        <is>
          <t>Crescent Tech</t>
        </is>
      </c>
      <c r="C48" s="3" t="n">
        <v>62000</v>
      </c>
      <c r="D48" s="2" t="inlineStr">
        <is>
          <t>2026-03-14</t>
        </is>
      </c>
      <c r="E48" s="13" t="n">
        <v>35</v>
      </c>
      <c r="F48" s="2" t="inlineStr">
        <is>
          <t>Overdue</t>
        </is>
      </c>
      <c r="G48" s="2" t="inlineStr">
        <is>
          <t>Aisha Siddiqui</t>
        </is>
      </c>
      <c r="H48" s="2" t="inlineStr">
        <is>
          <t>farazstudy112@gmail.com</t>
        </is>
      </c>
      <c r="I48" s="2" t="n">
        <v>35</v>
      </c>
      <c r="J48" s="16" t="inlineStr">
        <is>
          <t>Low</t>
        </is>
      </c>
      <c r="K48" s="6" t="inlineStr">
        <is>
          <t>No</t>
        </is>
      </c>
      <c r="L48" s="7" t="inlineStr">
        <is>
          <t>Send friendly reminder email</t>
        </is>
      </c>
    </row>
    <row r="49">
      <c r="A49" s="8" t="inlineStr">
        <is>
          <t>INV048</t>
        </is>
      </c>
      <c r="B49" s="8" t="inlineStr">
        <is>
          <t>Crescent Tech</t>
        </is>
      </c>
      <c r="C49" s="9" t="n">
        <v>53500</v>
      </c>
      <c r="D49" s="8" t="inlineStr">
        <is>
          <t>2026-03-09</t>
        </is>
      </c>
      <c r="E49" s="15" t="n">
        <v>40</v>
      </c>
      <c r="F49" s="8" t="inlineStr">
        <is>
          <t>Overdue</t>
        </is>
      </c>
      <c r="G49" s="8" t="inlineStr">
        <is>
          <t>Aisha Siddiqui</t>
        </is>
      </c>
      <c r="H49" s="8" t="inlineStr">
        <is>
          <t>farazstudy112@gmail.com</t>
        </is>
      </c>
      <c r="I49" s="8" t="n">
        <v>38</v>
      </c>
      <c r="J49" s="16" t="inlineStr">
        <is>
          <t>Low</t>
        </is>
      </c>
      <c r="K49" s="11" t="inlineStr">
        <is>
          <t>No</t>
        </is>
      </c>
      <c r="L49" s="12" t="inlineStr">
        <is>
          <t>Send friendly reminder email</t>
        </is>
      </c>
    </row>
    <row r="50">
      <c r="A50" s="2" t="inlineStr">
        <is>
          <t>INV049</t>
        </is>
      </c>
      <c r="B50" s="2" t="inlineStr">
        <is>
          <t>Crescent Tech</t>
        </is>
      </c>
      <c r="C50" s="3" t="n">
        <v>19000</v>
      </c>
      <c r="D50" s="2" t="inlineStr">
        <is>
          <t>2026-03-04</t>
        </is>
      </c>
      <c r="E50" s="13" t="n">
        <v>45</v>
      </c>
      <c r="F50" s="2" t="inlineStr">
        <is>
          <t>Overdue</t>
        </is>
      </c>
      <c r="G50" s="2" t="inlineStr">
        <is>
          <t>Aisha Siddiqui</t>
        </is>
      </c>
      <c r="H50" s="2" t="inlineStr">
        <is>
          <t>farazstudy112@gmail.com</t>
        </is>
      </c>
      <c r="I50" s="2" t="n">
        <v>40</v>
      </c>
      <c r="J50" s="16" t="inlineStr">
        <is>
          <t>Low</t>
        </is>
      </c>
      <c r="K50" s="6" t="inlineStr">
        <is>
          <t>No</t>
        </is>
      </c>
      <c r="L50" s="7" t="inlineStr">
        <is>
          <t>Send friendly reminder email</t>
        </is>
      </c>
    </row>
    <row r="51">
      <c r="A51" s="8" t="inlineStr">
        <is>
          <t>INV050</t>
        </is>
      </c>
      <c r="B51" s="8" t="inlineStr">
        <is>
          <t>Crescent Tech</t>
        </is>
      </c>
      <c r="C51" s="9" t="n">
        <v>41000</v>
      </c>
      <c r="D51" s="8" t="inlineStr">
        <is>
          <t>2026-02-27</t>
        </is>
      </c>
      <c r="E51" s="15" t="n">
        <v>50</v>
      </c>
      <c r="F51" s="8" t="inlineStr">
        <is>
          <t>Overdue</t>
        </is>
      </c>
      <c r="G51" s="8" t="inlineStr">
        <is>
          <t>Aisha Siddiqui</t>
        </is>
      </c>
      <c r="H51" s="8" t="inlineStr">
        <is>
          <t>farazstudy112@gmail.com</t>
        </is>
      </c>
      <c r="I51" s="8" t="n">
        <v>41</v>
      </c>
      <c r="J51" s="14" t="inlineStr">
        <is>
          <t>Medium</t>
        </is>
      </c>
      <c r="K51" s="11" t="inlineStr">
        <is>
          <t>No</t>
        </is>
      </c>
      <c r="L51" s="12" t="inlineStr">
        <is>
          <t>Schedule follow-up call</t>
        </is>
      </c>
    </row>
  </sheetData>
  <autoFilter ref="A1:L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9" t="inlineStr">
        <is>
          <t>VoiceOS – Invoice Portfolio Summary</t>
        </is>
      </c>
    </row>
    <row r="3">
      <c r="A3" s="20" t="inlineStr">
        <is>
          <t>Metric</t>
        </is>
      </c>
      <c r="B3" s="20" t="inlineStr">
        <is>
          <t>Value</t>
        </is>
      </c>
    </row>
    <row r="4">
      <c r="A4" s="21" t="inlineStr">
        <is>
          <t>Total Invoices</t>
        </is>
      </c>
      <c r="B4" s="21">
        <f>COUNTA(Invoices!A2:A51)</f>
        <v/>
      </c>
    </row>
    <row r="5">
      <c r="A5" s="21" t="inlineStr">
        <is>
          <t>Total Outstanding (₹)</t>
        </is>
      </c>
      <c r="B5" s="22">
        <f>SUM(Invoices!C2:C51)</f>
        <v/>
      </c>
    </row>
    <row r="6">
      <c r="A6" s="21" t="inlineStr">
        <is>
          <t>High Risk Invoices</t>
        </is>
      </c>
      <c r="B6" s="21">
        <f>COUNTIF(Invoices!J2:J51,"High")</f>
        <v/>
      </c>
    </row>
    <row r="7">
      <c r="A7" s="21" t="inlineStr">
        <is>
          <t>Medium Risk Invoices</t>
        </is>
      </c>
      <c r="B7" s="21">
        <f>COUNTIF(Invoices!J2:J51,"Medium")</f>
        <v/>
      </c>
    </row>
    <row r="8">
      <c r="A8" s="21" t="inlineStr">
        <is>
          <t>Low Risk Invoices</t>
        </is>
      </c>
      <c r="B8" s="21">
        <f>COUNTIF(Invoices!J2:J51,"Low")</f>
        <v/>
      </c>
    </row>
    <row r="9">
      <c r="A9" s="21" t="inlineStr">
        <is>
          <t>Disputed Invoices</t>
        </is>
      </c>
      <c r="B9" s="21">
        <f>COUNTIF(Invoices!K2:K51,"Yes")</f>
        <v/>
      </c>
    </row>
    <row r="10">
      <c r="A10" s="21" t="inlineStr">
        <is>
          <t>Missing Contact</t>
        </is>
      </c>
      <c r="B10" s="21">
        <f>COUNTIF(Invoices!G2:G51,"— MISSING —")</f>
        <v/>
      </c>
    </row>
    <row r="11">
      <c r="A11" s="21" t="inlineStr">
        <is>
          <t>Avg Days Overdue</t>
        </is>
      </c>
      <c r="B11" s="23">
        <f>AVERAGE(Invoices!E2:E51)</f>
        <v/>
      </c>
    </row>
    <row r="12">
      <c r="A12" s="21" t="inlineStr">
        <is>
          <t>Max Days Overdue</t>
        </is>
      </c>
      <c r="B12" s="21">
        <f>MAX(Invoices!E2:E51)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2026-04-17T20:49:25Z</dcterms:created>
  <dcterms:modified xmlns:dcterms="http://purl.org/dc/terms/" xmlns:xsi="http://www.w3.org/2001/XMLSchema-instance" xsi:type="dcterms:W3CDTF">2026-04-17T20:49:25Z</dcterms:modified>
</cp:coreProperties>
</file>